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Rainfall" sheetId="1" state="visible" r:id="rId3"/>
    <sheet name="State Highligh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<sst xmlns="http://schemas.openxmlformats.org/spreadsheetml/2006/main" count="67" uniqueCount="43">
  <si>
    <t xml:space="preserve">North East India - Southwest Monsoon Rainfall (June-September), 2022-2026</t>
  </si>
  <si>
    <t xml:space="preserve">Source: India Meteorological Department (IMD) seasonal reports and press coverage. Blue = input from source; black = formula.</t>
  </si>
  <si>
    <t xml:space="preserve">Year</t>
  </si>
  <si>
    <t xml:space="preserve">Rainfall, % of LPA (reported)</t>
  </si>
  <si>
    <t xml:space="preserve">Departure from LPA</t>
  </si>
  <si>
    <t xml:space="preserve">Actual rainfall (mm)</t>
  </si>
  <si>
    <t xml:space="preserve">Normal / LPA (mm)</t>
  </si>
  <si>
    <t xml:space="preserve">Computed % of LPA (check)</t>
  </si>
  <si>
    <t xml:space="preserve">Notes</t>
  </si>
  <si>
    <t xml:space="preserve">2022</t>
  </si>
  <si>
    <t xml:space="preserve">n/a</t>
  </si>
  <si>
    <t xml:space="preserve">Reported for East &amp; Northeast India region.</t>
  </si>
  <si>
    <t xml:space="preserve">2023</t>
  </si>
  <si>
    <t xml:space="preserve">Manipur 46% deficient, Mizoram 28%, Assam 20%.</t>
  </si>
  <si>
    <t xml:space="preserve">2024</t>
  </si>
  <si>
    <t xml:space="preserve">Assam 1,137.8 mm vs normal 1,429.4 mm (-20%); Manipur -35%, Nagaland -32%; Tripura was the only state with excess rain.</t>
  </si>
  <si>
    <t xml:space="preserve">2025</t>
  </si>
  <si>
    <t xml:space="preserve">Arunachal Pradesh 2nd driest state (-41%). Meghalaya -42%.</t>
  </si>
  <si>
    <t xml:space="preserve">2026</t>
  </si>
  <si>
    <t xml:space="preserve">Lowest since 1901. Meghalaya 1,077.1 mm vs 2,695.3 mm normal (-60%). Eight NE states combined: -26%.</t>
  </si>
  <si>
    <t xml:space="preserve">5-yr average</t>
  </si>
  <si>
    <t xml:space="preserve">Assumptions &amp; notes</t>
  </si>
  <si>
    <t xml:space="preserve">1. 'NER' is taken as North East India; figures cover the June-September southwest monsoon only, not annual rainfall.</t>
  </si>
  <si>
    <t xml:space="preserve">2. IMD reports the region as 'Northeast India' in some years and 'East &amp; Northeast India' in others; coverage is not identical.</t>
  </si>
  <si>
    <t xml:space="preserve">3. Normal (LPA) of 1,367.3 mm is IMD's East &amp; Northeast India value (1971-2020) stated in its 2025 report; the same value is assumed for 2026 (it reproduces the reported 74%).</t>
  </si>
  <si>
    <t xml:space="preserve">4. Absolute mm values were only available for 2025 and 2026; 'n/a' marks years where they were not found.</t>
  </si>
  <si>
    <t xml:space="preserve">5. Departure = reported % of LPA minus 100%. IMD treats +/-19% as 'normal'; below -19% is 'deficient'.</t>
  </si>
  <si>
    <t xml:space="preserve">State / area</t>
  </si>
  <si>
    <t xml:space="preserve">Departure from normal</t>
  </si>
  <si>
    <t xml:space="preserve">Detail</t>
  </si>
  <si>
    <t xml:space="preserve">Manipur</t>
  </si>
  <si>
    <t xml:space="preserve">Season deficiency</t>
  </si>
  <si>
    <t xml:space="preserve">Mizoram</t>
  </si>
  <si>
    <t xml:space="preserve">Assam</t>
  </si>
  <si>
    <t xml:space="preserve">1,137.8 mm vs 1,429.4 mm normal</t>
  </si>
  <si>
    <t xml:space="preserve">Nagaland</t>
  </si>
  <si>
    <t xml:space="preserve">Arunachal Pradesh</t>
  </si>
  <si>
    <t xml:space="preserve">Second driest state</t>
  </si>
  <si>
    <t xml:space="preserve">Meghalaya</t>
  </si>
  <si>
    <t xml:space="preserve">Highest deficit among states cited</t>
  </si>
  <si>
    <t xml:space="preserve">1,077.1 mm vs 2,695.3 mm normal</t>
  </si>
  <si>
    <t xml:space="preserve">Eight NE states combined</t>
  </si>
  <si>
    <t xml:space="preserve">Sikkim, Tripura, Mizoram, Nagaland within normal range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</si>
</sst>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%;\-0%;0%"/>
    <numFmt numFmtId="167" formatCode="#,##0.0"/>
    <numFmt numFmtId="168" formatCode="0.0%"/>
    <numFmt numFmtId="169" formatCode="0.0%;\-0.0%"/>
    <numFmt numFmtId="170" formatCode="0%;\-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 India monsoon rainfall (% of LPA)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Rainfall'!B4</c:f>
              <c:strCache>
                <c:ptCount val="1"/>
                <c:pt idx="0">
                  <c:v>Rainfall, % of LPA (reported)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Rainfall'!$A$5:$A$9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'Regional Rainfall'!$B$5:$B$9</c:f>
              <c:numCache>
                <c:formatCode>0%</c:formatCode>
                <c:ptCount val="5"/>
                <c:pt idx="0">
                  <c:v>0.82</c:v>
                </c:pt>
                <c:pt idx="1">
                  <c:v>0.82</c:v>
                </c:pt>
                <c:pt idx="2">
                  <c:v>0.86</c:v>
                </c:pt>
                <c:pt idx="3">
                  <c:v>0.8</c:v>
                </c:pt>
                <c:pt idx="4">
                  <c:v>0.74</c:v>
                </c:pt>
              </c:numCache>
            </c:numRef>
          </c:val>
        </c:ser>
        <c:gapWidth val="150"/>
        <c:overlap val="0"/>
        <c:axId val="54327751"/>
        <c:axId val="44516011"/>
      </c:barChart>
      <c:catAx>
        <c:axId val="54327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6011"/>
        <c:crosses val="autoZero"/>
        <c:auto val="1"/>
        <c:lblAlgn val="ctr"/>
        <c:lblOffset val="100"/>
        <c:noMultiLvlLbl val="0"/>
      </c:catAx>
      <c:valAx>
        <c:axId val="4451601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27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160560</xdr:rowOff>
    </xdr:from>
    <xdr:to>
      <xdr:col>5</xdr:col>
      <xdr:colOff>120960</xdr:colOff>
      <xdr:row>33</xdr:row>
      <xdr:rowOff>182880</xdr:rowOff>
    </xdr:to>
    <xdr:graphicFrame>
      <xdr:nvGraphicFramePr>
        <xdr:cNvPr id="0" name="Chart 1"/>
        <xdr:cNvGraphicFramePr/>
      </xdr:nvGraphicFramePr>
      <xdr:xfrm>
        <a:off x="0" y="571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2" hidden="false" customHeight="true" outlineLevel="0" collapsed="false">
      <c r="A5" s="4" t="s">
        <v>9</v>
      </c>
      <c r="B5" s="5" t="n">
        <v>0.82</v>
      </c>
      <c r="C5" s="6" t="n">
        <f aca="false">B5-1</f>
        <v>-0.18</v>
      </c>
      <c r="D5" s="7" t="s">
        <v>10</v>
      </c>
      <c r="E5" s="7" t="s">
        <v>10</v>
      </c>
      <c r="F5" s="8" t="s">
        <v>10</v>
      </c>
      <c r="G5" s="9" t="s">
        <v>11</v>
      </c>
    </row>
    <row r="6" customFormat="false" ht="42" hidden="false" customHeight="true" outlineLevel="0" collapsed="false">
      <c r="A6" s="4" t="s">
        <v>12</v>
      </c>
      <c r="B6" s="5" t="n">
        <v>0.82</v>
      </c>
      <c r="C6" s="6" t="n">
        <f aca="false">B6-1</f>
        <v>-0.18</v>
      </c>
      <c r="D6" s="7" t="s">
        <v>10</v>
      </c>
      <c r="E6" s="7" t="s">
        <v>10</v>
      </c>
      <c r="F6" s="8" t="s">
        <v>10</v>
      </c>
      <c r="G6" s="9" t="s">
        <v>13</v>
      </c>
    </row>
    <row r="7" customFormat="false" ht="42" hidden="false" customHeight="true" outlineLevel="0" collapsed="false">
      <c r="A7" s="4" t="s">
        <v>14</v>
      </c>
      <c r="B7" s="5" t="n">
        <v>0.86</v>
      </c>
      <c r="C7" s="6" t="n">
        <f aca="false">B7-1</f>
        <v>-0.14</v>
      </c>
      <c r="D7" s="7" t="s">
        <v>10</v>
      </c>
      <c r="E7" s="7" t="s">
        <v>10</v>
      </c>
      <c r="F7" s="8" t="s">
        <v>10</v>
      </c>
      <c r="G7" s="9" t="s">
        <v>15</v>
      </c>
    </row>
    <row r="8" customFormat="false" ht="42" hidden="false" customHeight="true" outlineLevel="0" collapsed="false">
      <c r="A8" s="4" t="s">
        <v>16</v>
      </c>
      <c r="B8" s="5" t="n">
        <v>0.8</v>
      </c>
      <c r="C8" s="6" t="n">
        <f aca="false">B8-1</f>
        <v>-0.2</v>
      </c>
      <c r="D8" s="10" t="n">
        <v>1089.9</v>
      </c>
      <c r="E8" s="10" t="n">
        <v>1367.3</v>
      </c>
      <c r="F8" s="11" t="n">
        <f aca="false">D8/E8</f>
        <v>0.797118408542383</v>
      </c>
      <c r="G8" s="9" t="s">
        <v>17</v>
      </c>
    </row>
    <row r="9" customFormat="false" ht="42" hidden="false" customHeight="true" outlineLevel="0" collapsed="false">
      <c r="A9" s="4" t="s">
        <v>18</v>
      </c>
      <c r="B9" s="5" t="n">
        <v>0.74</v>
      </c>
      <c r="C9" s="6" t="n">
        <f aca="false">B9-1</f>
        <v>-0.26</v>
      </c>
      <c r="D9" s="10" t="n">
        <v>1017.1</v>
      </c>
      <c r="E9" s="10" t="n">
        <v>1367.3</v>
      </c>
      <c r="F9" s="11" t="n">
        <f aca="false">D9/E9</f>
        <v>0.743874789731588</v>
      </c>
      <c r="G9" s="9" t="s">
        <v>19</v>
      </c>
    </row>
    <row r="10" customFormat="false" ht="15" hidden="false" customHeight="false" outlineLevel="0" collapsed="false">
      <c r="A10" s="12" t="s">
        <v>20</v>
      </c>
      <c r="B10" s="13" t="n">
        <f aca="false">AVERAGE(B5:B9)</f>
        <v>0.808</v>
      </c>
      <c r="C10" s="14" t="n">
        <f aca="false">B10-1</f>
        <v>-0.192</v>
      </c>
      <c r="D10" s="15"/>
      <c r="E10" s="15"/>
      <c r="F10" s="15"/>
      <c r="G10" s="15"/>
    </row>
    <row r="12" customFormat="false" ht="15" hidden="false" customHeight="false" outlineLevel="0" collapsed="false">
      <c r="A12" s="16" t="s">
        <v>21</v>
      </c>
    </row>
    <row r="13" customFormat="false" ht="15" hidden="false" customHeight="false" outlineLevel="0" collapsed="false">
      <c r="A13" s="17" t="s">
        <v>22</v>
      </c>
    </row>
    <row r="14" customFormat="false" ht="15" hidden="false" customHeight="false" outlineLevel="0" collapsed="false">
      <c r="A14" s="17" t="s">
        <v>23</v>
      </c>
    </row>
    <row r="15" customFormat="false" ht="15" hidden="false" customHeight="false" outlineLevel="0" collapsed="false">
      <c r="A15" s="17" t="s">
        <v>24</v>
      </c>
    </row>
    <row r="16" customFormat="false" ht="15" hidden="false" customHeight="false" outlineLevel="0" collapsed="false">
      <c r="A16" s="17" t="s">
        <v>25</v>
      </c>
    </row>
    <row r="17" customFormat="false" ht="15" hidden="false" customHeight="false" outlineLevel="0" collapsed="false">
      <c r="A17" s="1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8" t="s">
        <v>2</v>
      </c>
      <c r="B1" s="18" t="s">
        <v>27</v>
      </c>
      <c r="C1" s="18" t="s">
        <v>28</v>
      </c>
      <c r="D1" s="18" t="s">
        <v>29</v>
      </c>
    </row>
    <row r="2" customFormat="false" ht="15" hidden="false" customHeight="false" outlineLevel="0" collapsed="false">
      <c r="A2" s="19" t="s">
        <v>12</v>
      </c>
      <c r="B2" s="19" t="s">
        <v>30</v>
      </c>
      <c r="C2" s="20" t="n">
        <v>-0.46</v>
      </c>
      <c r="D2" s="19" t="s">
        <v>31</v>
      </c>
    </row>
    <row r="3" customFormat="false" ht="15" hidden="false" customHeight="false" outlineLevel="0" collapsed="false">
      <c r="A3" s="19" t="s">
        <v>12</v>
      </c>
      <c r="B3" s="19" t="s">
        <v>32</v>
      </c>
      <c r="C3" s="20" t="n">
        <v>-0.28</v>
      </c>
      <c r="D3" s="19" t="s">
        <v>31</v>
      </c>
    </row>
    <row r="4" customFormat="false" ht="15" hidden="false" customHeight="false" outlineLevel="0" collapsed="false">
      <c r="A4" s="19" t="s">
        <v>12</v>
      </c>
      <c r="B4" s="19" t="s">
        <v>33</v>
      </c>
      <c r="C4" s="20" t="n">
        <v>-0.2</v>
      </c>
      <c r="D4" s="19" t="s">
        <v>31</v>
      </c>
    </row>
    <row r="5" customFormat="false" ht="15" hidden="false" customHeight="false" outlineLevel="0" collapsed="false">
      <c r="A5" s="19" t="s">
        <v>14</v>
      </c>
      <c r="B5" s="19" t="s">
        <v>33</v>
      </c>
      <c r="C5" s="20" t="n">
        <v>-0.2</v>
      </c>
      <c r="D5" s="19" t="s">
        <v>34</v>
      </c>
    </row>
    <row r="6" customFormat="false" ht="15" hidden="false" customHeight="false" outlineLevel="0" collapsed="false">
      <c r="A6" s="19" t="s">
        <v>14</v>
      </c>
      <c r="B6" s="19" t="s">
        <v>30</v>
      </c>
      <c r="C6" s="20" t="n">
        <v>-0.35</v>
      </c>
      <c r="D6" s="19"/>
    </row>
    <row r="7" customFormat="false" ht="15" hidden="false" customHeight="false" outlineLevel="0" collapsed="false">
      <c r="A7" s="19" t="s">
        <v>14</v>
      </c>
      <c r="B7" s="19" t="s">
        <v>35</v>
      </c>
      <c r="C7" s="20" t="n">
        <v>-0.32</v>
      </c>
      <c r="D7" s="19"/>
    </row>
    <row r="8" customFormat="false" ht="15" hidden="false" customHeight="false" outlineLevel="0" collapsed="false">
      <c r="A8" s="19" t="s">
        <v>16</v>
      </c>
      <c r="B8" s="19" t="s">
        <v>36</v>
      </c>
      <c r="C8" s="20" t="n">
        <v>-0.41</v>
      </c>
      <c r="D8" s="19" t="s">
        <v>37</v>
      </c>
    </row>
    <row r="9" customFormat="false" ht="15" hidden="false" customHeight="false" outlineLevel="0" collapsed="false">
      <c r="A9" s="19" t="s">
        <v>16</v>
      </c>
      <c r="B9" s="19" t="s">
        <v>38</v>
      </c>
      <c r="C9" s="20" t="n">
        <v>-0.42</v>
      </c>
      <c r="D9" s="19" t="s">
        <v>39</v>
      </c>
    </row>
    <row r="10" customFormat="false" ht="15" hidden="false" customHeight="false" outlineLevel="0" collapsed="false">
      <c r="A10" s="19" t="s">
        <v>18</v>
      </c>
      <c r="B10" s="19" t="s">
        <v>38</v>
      </c>
      <c r="C10" s="20" t="n">
        <v>-0.6</v>
      </c>
      <c r="D10" s="19" t="s">
        <v>40</v>
      </c>
    </row>
    <row r="11" customFormat="false" ht="15" hidden="false" customHeight="false" outlineLevel="0" collapsed="false">
      <c r="A11" s="19" t="s">
        <v>18</v>
      </c>
      <c r="B11" s="19" t="s">
        <v>41</v>
      </c>
      <c r="C11" s="20" t="n">
        <v>-0.26</v>
      </c>
      <c r="D11" s="1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2026-10-27T18:54:28Z</dcterms:created>
  <dc:creator>openpyxl</dc:creator>
  <dc:description/>
  <dc:language>en-US</dc:language>
  <cp:lastModifiedBy/>
  <dcterms:modified xsi:type="dcterms:W3CDTF">2026-10-27T18:54:31Z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